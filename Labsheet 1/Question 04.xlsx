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erd Year Frist Sem Assignment &amp;  Labsheet\07.CIS31041 - Practical for Data Mining\Labsheet 1\"/>
    </mc:Choice>
  </mc:AlternateContent>
  <xr:revisionPtr revIDLastSave="0" documentId="13_ncr:1_{0DC9CE14-C5F7-4ED1-86A6-A9111E547BF8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4" i="2"/>
  <c r="K3" i="2"/>
  <c r="C7" i="2"/>
  <c r="D7" i="2"/>
  <c r="E7" i="2"/>
  <c r="F7" i="2"/>
  <c r="B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K5" i="1"/>
  <c r="C10" i="1"/>
  <c r="B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D10" i="1" s="1"/>
  <c r="F3" i="1"/>
  <c r="E3" i="1"/>
  <c r="D3" i="1"/>
  <c r="F2" i="1"/>
  <c r="F10" i="1" s="1"/>
  <c r="E2" i="1"/>
  <c r="E10" i="1" s="1"/>
  <c r="D2" i="1"/>
</calcChain>
</file>

<file path=xl/sharedStrings.xml><?xml version="1.0" encoding="utf-8"?>
<sst xmlns="http://schemas.openxmlformats.org/spreadsheetml/2006/main" count="32" uniqueCount="21">
  <si>
    <t>xi</t>
  </si>
  <si>
    <t>yi</t>
  </si>
  <si>
    <t>xi*yi</t>
  </si>
  <si>
    <t>xi*xi</t>
  </si>
  <si>
    <t>yi*yi</t>
  </si>
  <si>
    <t>Total</t>
  </si>
  <si>
    <t>n=8</t>
  </si>
  <si>
    <t>m</t>
  </si>
  <si>
    <t>[n*∑xi*yi-∑xi*∑yi]/n*∑xi*xi-(∑xi)^2</t>
  </si>
  <si>
    <t>[8*2249-36*449]/8*204-(36)^2</t>
  </si>
  <si>
    <t>c</t>
  </si>
  <si>
    <r>
      <t>(</t>
    </r>
    <r>
      <rPr>
        <sz val="11"/>
        <color theme="1"/>
        <rFont val="Calibri"/>
        <family val="2"/>
      </rPr>
      <t>∑yi-m*∑xi)/n</t>
    </r>
  </si>
  <si>
    <t>(449-5.440476*36)/8</t>
  </si>
  <si>
    <t>Correlation coefficient</t>
  </si>
  <si>
    <r>
      <t>[n*</t>
    </r>
    <r>
      <rPr>
        <sz val="11"/>
        <color theme="1"/>
        <rFont val="Calibri"/>
        <family val="2"/>
      </rPr>
      <t>∑xi*yi-∑xi*∑yi]/√(n*∑xi*xi-(∑xi^2)*√(n*∑yi*yi-(∑yi^2)</t>
    </r>
  </si>
  <si>
    <t>[8*2249-36*449]/√(8*204-(36^2)*√(8*26541-(449^2)</t>
  </si>
  <si>
    <t>n=5</t>
  </si>
  <si>
    <t>(5 * 83150 - 690 * 575) / (5 * 98500 - 690^2)</t>
  </si>
  <si>
    <t>(575 - (1.15 * 690)) / 5</t>
  </si>
  <si>
    <t>[n*Σxi*yi - Σxi*Σyi] / sqrt[(n*Σxi*xi - (Σxi)^2)*(n*Σyi*yi - (Σyi)^2)]</t>
  </si>
  <si>
    <t xml:space="preserve"> (5 * 83150 - 690 * 575) / SQRT((5 * 98500 - 690^2) * (5 * 70575 - 575^2))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</si>
</sst>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0" fillId="6" borderId="0" xfId="0" applyFill="1"/>
    <xf numFmtId="0" fontId="0" fillId="2" borderId="0" xfId="0" applyFill="1"/>
    <xf numFmtId="0" fontId="0" fillId="0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opLeftCell="C1" workbookViewId="0">
      <selection activeCell="F10" sqref="A1:F10"/>
    </sheetView>
  </sheetViews>
  <sheetFormatPr defaultRowHeight="15" x14ac:dyDescent="0.25"/>
  <cols>
    <col min="8" max="8" width="24.140625" customWidth="1"/>
    <col min="9" max="9" width="52.140625" customWidth="1"/>
    <col min="10" max="10" width="52.285156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1" x14ac:dyDescent="0.25">
      <c r="B2" s="2">
        <v>1</v>
      </c>
      <c r="C2" s="2">
        <v>30</v>
      </c>
      <c r="D2" s="2">
        <f>B2*C2</f>
        <v>30</v>
      </c>
      <c r="E2" s="2">
        <f>B2*B2</f>
        <v>1</v>
      </c>
      <c r="F2" s="2">
        <f>C2*C2</f>
        <v>900</v>
      </c>
    </row>
    <row r="3" spans="1:11" x14ac:dyDescent="0.25">
      <c r="B3" s="2">
        <v>2</v>
      </c>
      <c r="C3" s="2">
        <v>45</v>
      </c>
      <c r="D3" s="2">
        <f t="shared" ref="D3:D9" si="0">B3*C3</f>
        <v>90</v>
      </c>
      <c r="E3" s="2">
        <f t="shared" ref="E3:F9" si="1">B3*B3</f>
        <v>4</v>
      </c>
      <c r="F3" s="2">
        <f t="shared" si="1"/>
        <v>2025</v>
      </c>
      <c r="H3" s="4" t="s">
        <v>6</v>
      </c>
    </row>
    <row r="4" spans="1:11" x14ac:dyDescent="0.25">
      <c r="B4" s="2">
        <v>3</v>
      </c>
      <c r="C4" s="2">
        <v>51</v>
      </c>
      <c r="D4" s="2">
        <f t="shared" si="0"/>
        <v>153</v>
      </c>
      <c r="E4" s="2">
        <f t="shared" si="1"/>
        <v>9</v>
      </c>
      <c r="F4" s="2">
        <f t="shared" si="1"/>
        <v>2601</v>
      </c>
      <c r="H4" s="2" t="s">
        <v>7</v>
      </c>
      <c r="I4" s="5" t="s">
        <v>8</v>
      </c>
      <c r="J4" s="6" t="s">
        <v>9</v>
      </c>
      <c r="K4" s="3">
        <v>5.4404760000000003</v>
      </c>
    </row>
    <row r="5" spans="1:11" x14ac:dyDescent="0.25">
      <c r="B5" s="2">
        <v>4</v>
      </c>
      <c r="C5" s="2">
        <v>57</v>
      </c>
      <c r="D5" s="2">
        <f t="shared" si="0"/>
        <v>228</v>
      </c>
      <c r="E5" s="2">
        <f t="shared" si="1"/>
        <v>16</v>
      </c>
      <c r="F5" s="2">
        <f t="shared" si="1"/>
        <v>3249</v>
      </c>
      <c r="H5" s="2" t="s">
        <v>10</v>
      </c>
      <c r="I5" s="2" t="s">
        <v>11</v>
      </c>
      <c r="J5" s="6" t="s">
        <v>12</v>
      </c>
      <c r="K5" s="3">
        <f>(449-5.440476*36)/8</f>
        <v>31.642857999999997</v>
      </c>
    </row>
    <row r="6" spans="1:11" x14ac:dyDescent="0.25">
      <c r="B6" s="2">
        <v>5</v>
      </c>
      <c r="C6" s="2">
        <v>60</v>
      </c>
      <c r="D6" s="2">
        <f t="shared" si="0"/>
        <v>300</v>
      </c>
      <c r="E6" s="2">
        <f t="shared" si="1"/>
        <v>25</v>
      </c>
      <c r="F6" s="2">
        <f t="shared" si="1"/>
        <v>3600</v>
      </c>
      <c r="H6" s="2" t="s">
        <v>13</v>
      </c>
      <c r="I6" s="2" t="s">
        <v>14</v>
      </c>
      <c r="J6" s="7" t="s">
        <v>15</v>
      </c>
      <c r="K6" s="3">
        <v>0.96286899999999997</v>
      </c>
    </row>
    <row r="7" spans="1:11" x14ac:dyDescent="0.25">
      <c r="B7" s="2">
        <v>6</v>
      </c>
      <c r="C7" s="2">
        <v>65</v>
      </c>
      <c r="D7" s="2">
        <f t="shared" si="0"/>
        <v>390</v>
      </c>
      <c r="E7" s="2">
        <f t="shared" si="1"/>
        <v>36</v>
      </c>
      <c r="F7" s="2">
        <f t="shared" si="1"/>
        <v>4225</v>
      </c>
    </row>
    <row r="8" spans="1:11" x14ac:dyDescent="0.25">
      <c r="B8" s="2">
        <v>7</v>
      </c>
      <c r="C8" s="2">
        <v>70</v>
      </c>
      <c r="D8" s="2">
        <f t="shared" si="0"/>
        <v>490</v>
      </c>
      <c r="E8" s="2">
        <f t="shared" si="1"/>
        <v>49</v>
      </c>
      <c r="F8" s="2">
        <f t="shared" si="1"/>
        <v>4900</v>
      </c>
    </row>
    <row r="9" spans="1:11" x14ac:dyDescent="0.25">
      <c r="B9" s="2">
        <v>8</v>
      </c>
      <c r="C9" s="2">
        <v>71</v>
      </c>
      <c r="D9" s="2">
        <f t="shared" si="0"/>
        <v>568</v>
      </c>
      <c r="E9" s="2">
        <f t="shared" si="1"/>
        <v>64</v>
      </c>
      <c r="F9" s="2">
        <f t="shared" si="1"/>
        <v>5041</v>
      </c>
    </row>
    <row r="10" spans="1:11" x14ac:dyDescent="0.25">
      <c r="A10" s="3" t="s">
        <v>5</v>
      </c>
      <c r="B10" s="3">
        <f>SUM(B2:B9)</f>
        <v>36</v>
      </c>
      <c r="C10" s="3">
        <f>SUM(C2:C9)</f>
        <v>449</v>
      </c>
      <c r="D10" s="3">
        <f t="shared" ref="D10:F10" si="2">SUM(D2:D9)</f>
        <v>2249</v>
      </c>
      <c r="E10" s="3">
        <f t="shared" si="2"/>
        <v>204</v>
      </c>
      <c r="F10" s="3">
        <f t="shared" si="2"/>
        <v>26541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687B-20F1-4484-9F96-312CC39BC1FD}">
  <dimension ref="A1:K10"/>
  <sheetViews>
    <sheetView tabSelected="1" workbookViewId="0">
      <selection activeCell="J12" sqref="J12"/>
    </sheetView>
  </sheetViews>
  <sheetFormatPr defaultRowHeight="15" x14ac:dyDescent="0.25"/>
  <cols>
    <col min="9" max="9" width="59" customWidth="1"/>
    <col min="10" max="10" width="63.5703125" customWidth="1"/>
    <col min="11" max="11" width="12.710937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1" x14ac:dyDescent="0.25">
      <c r="B2" s="2">
        <v>100</v>
      </c>
      <c r="C2" s="2">
        <v>75</v>
      </c>
      <c r="D2" s="2">
        <f>B2*C2</f>
        <v>7500</v>
      </c>
      <c r="E2" s="2">
        <f>B2*B2</f>
        <v>10000</v>
      </c>
      <c r="F2" s="2">
        <f>C2*C2</f>
        <v>5625</v>
      </c>
      <c r="H2" s="4" t="s">
        <v>16</v>
      </c>
    </row>
    <row r="3" spans="1:11" x14ac:dyDescent="0.25">
      <c r="B3" s="2">
        <v>120</v>
      </c>
      <c r="C3" s="2">
        <v>90</v>
      </c>
      <c r="D3" s="2">
        <f t="shared" ref="D3:D6" si="0">B3*C3</f>
        <v>10800</v>
      </c>
      <c r="E3" s="2">
        <f t="shared" ref="E3:F6" si="1">B3*B3</f>
        <v>14400</v>
      </c>
      <c r="F3" s="2">
        <f t="shared" si="1"/>
        <v>8100</v>
      </c>
      <c r="H3" s="2" t="s">
        <v>7</v>
      </c>
      <c r="I3" s="5" t="s">
        <v>8</v>
      </c>
      <c r="J3" s="10" t="s">
        <v>17</v>
      </c>
      <c r="K3" s="10">
        <f>(5 * 83150 - 690 * 575) / (5 * 98500 - 690^2)</f>
        <v>1.1585365853658536</v>
      </c>
    </row>
    <row r="4" spans="1:11" x14ac:dyDescent="0.25">
      <c r="B4" s="2">
        <v>140</v>
      </c>
      <c r="C4" s="2">
        <v>115</v>
      </c>
      <c r="D4" s="2">
        <f t="shared" si="0"/>
        <v>16100</v>
      </c>
      <c r="E4" s="2">
        <f t="shared" si="1"/>
        <v>19600</v>
      </c>
      <c r="F4" s="2">
        <f t="shared" si="1"/>
        <v>13225</v>
      </c>
      <c r="H4" s="2" t="s">
        <v>10</v>
      </c>
      <c r="I4" s="2" t="s">
        <v>11</v>
      </c>
      <c r="J4" s="10" t="s">
        <v>18</v>
      </c>
      <c r="K4" s="10">
        <f>(575 - (1.15 * 690)) / 5</f>
        <v>-43.699999999999974</v>
      </c>
    </row>
    <row r="5" spans="1:11" x14ac:dyDescent="0.25">
      <c r="B5" s="2">
        <v>160</v>
      </c>
      <c r="C5" s="2">
        <v>140</v>
      </c>
      <c r="D5" s="2">
        <f t="shared" si="0"/>
        <v>22400</v>
      </c>
      <c r="E5" s="2">
        <f t="shared" si="1"/>
        <v>25600</v>
      </c>
      <c r="F5" s="2">
        <f t="shared" si="1"/>
        <v>19600</v>
      </c>
      <c r="H5" s="2" t="s">
        <v>13</v>
      </c>
      <c r="I5" s="2" t="s">
        <v>19</v>
      </c>
      <c r="J5" s="10" t="s">
        <v>20</v>
      </c>
      <c r="K5" s="10">
        <f xml:space="preserve"> (5 * 83150 - 690 * 575) / SQRT((5 * 98500 - 690^2) * (5 * 70575 - 575^2))</f>
        <v>0.99464171454469685</v>
      </c>
    </row>
    <row r="6" spans="1:11" x14ac:dyDescent="0.25">
      <c r="B6" s="2">
        <v>170</v>
      </c>
      <c r="C6" s="2">
        <v>155</v>
      </c>
      <c r="D6" s="2">
        <f t="shared" si="0"/>
        <v>26350</v>
      </c>
      <c r="E6" s="2">
        <f t="shared" si="1"/>
        <v>28900</v>
      </c>
      <c r="F6" s="2">
        <f t="shared" si="1"/>
        <v>24025</v>
      </c>
    </row>
    <row r="7" spans="1:11" x14ac:dyDescent="0.25">
      <c r="A7" s="3" t="s">
        <v>5</v>
      </c>
      <c r="B7" s="9">
        <f>SUM(B2:B6)</f>
        <v>690</v>
      </c>
      <c r="C7" s="9">
        <f t="shared" ref="C7:F7" si="2">SUM(C2:C6)</f>
        <v>575</v>
      </c>
      <c r="D7" s="9">
        <f t="shared" si="2"/>
        <v>83150</v>
      </c>
      <c r="E7" s="9">
        <f t="shared" si="2"/>
        <v>98500</v>
      </c>
      <c r="F7" s="9">
        <f t="shared" si="2"/>
        <v>70575</v>
      </c>
    </row>
    <row r="8" spans="1:11" x14ac:dyDescent="0.25">
      <c r="B8" s="8"/>
      <c r="C8" s="8"/>
      <c r="D8" s="8"/>
      <c r="E8" s="8"/>
      <c r="F8" s="8"/>
    </row>
    <row r="9" spans="1:11" x14ac:dyDescent="0.25">
      <c r="B9" s="8"/>
      <c r="C9" s="8"/>
      <c r="D9" s="8"/>
      <c r="E9" s="8"/>
      <c r="F9" s="8"/>
    </row>
    <row r="10" spans="1:11" x14ac:dyDescent="0.25">
      <c r="B10" s="8"/>
      <c r="C10" s="8"/>
      <c r="D10" s="8"/>
      <c r="E10" s="8"/>
      <c r="F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 Kalhara</dc:creator>
  <cp:lastModifiedBy>Pasan Kalhara</cp:lastModifiedBy>
  <dcterms:created xsi:type="dcterms:W3CDTF">2015-06-05T18:17:20Z</dcterms:created>
  <dcterms:modified xsi:type="dcterms:W3CDTF">2025-03-23T18:59:22Z</dcterms:modified>
</cp:coreProperties>
</file>