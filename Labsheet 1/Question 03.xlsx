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herd Year Frist Sem Assignment &amp;  Labsheet\07.CIS31041 - Practical for Data Mining\Labsheet 1\"/>
    </mc:Choice>
  </mc:AlternateContent>
  <xr:revisionPtr revIDLastSave="0" documentId="13_ncr:1_{E36711D3-8C7C-40A5-AF7D-3C3BD2002F24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2" i="2"/>
  <c r="J1" i="2"/>
  <c r="B9" i="2"/>
  <c r="E8" i="2"/>
  <c r="D8" i="2"/>
  <c r="E7" i="2"/>
  <c r="D7" i="2"/>
  <c r="C7" i="2"/>
  <c r="E6" i="2"/>
  <c r="D6" i="2"/>
  <c r="E5" i="2"/>
  <c r="D5" i="2"/>
  <c r="E4" i="2"/>
  <c r="D4" i="2"/>
  <c r="E3" i="2"/>
  <c r="D3" i="2"/>
  <c r="E2" i="2"/>
  <c r="E9" i="2" s="1"/>
  <c r="D2" i="2"/>
  <c r="D9" i="2" s="1"/>
  <c r="C2" i="2"/>
  <c r="C9" i="2" s="1"/>
  <c r="L2" i="1"/>
  <c r="D7" i="1"/>
  <c r="L5" i="1"/>
  <c r="L3" i="1"/>
  <c r="B7" i="1"/>
  <c r="C3" i="1"/>
  <c r="C2" i="1"/>
</calcChain>
</file>

<file path=xl/sharedStrings.xml><?xml version="1.0" encoding="utf-8"?>
<sst xmlns="http://schemas.openxmlformats.org/spreadsheetml/2006/main" count="47" uniqueCount="38">
  <si>
    <t xml:space="preserve">Class  </t>
  </si>
  <si>
    <t xml:space="preserve">1.2 - 1.6  </t>
  </si>
  <si>
    <t xml:space="preserve">1.6 - 2.0  </t>
  </si>
  <si>
    <t xml:space="preserve">2.0 - 2.4  </t>
  </si>
  <si>
    <t xml:space="preserve">2.4 - 2.8  </t>
  </si>
  <si>
    <t xml:space="preserve">2.8 - 3.2  </t>
  </si>
  <si>
    <t xml:space="preserve">Frequency  </t>
  </si>
  <si>
    <t>xi</t>
  </si>
  <si>
    <t>f*x</t>
  </si>
  <si>
    <t>Total</t>
  </si>
  <si>
    <t>[∑fi*xi*xi-((∑fi*xi)/∑fi)*((∑fi*xi)/∑fi)]/∑fi</t>
  </si>
  <si>
    <t>Mean Value</t>
  </si>
  <si>
    <t>∑fi*xi/∑fi</t>
  </si>
  <si>
    <t>1902-850</t>
  </si>
  <si>
    <t>Variance  Value</t>
  </si>
  <si>
    <t>[4616.4-((1902/850)*(1902/850))]850</t>
  </si>
  <si>
    <t>Std Value</t>
  </si>
  <si>
    <t xml:space="preserve">√Variance </t>
  </si>
  <si>
    <t>√5.425168</t>
  </si>
  <si>
    <t>Cv Value</t>
  </si>
  <si>
    <t>(standard Deviation/Mean)</t>
  </si>
  <si>
    <t>2.237647059/2.329199038</t>
  </si>
  <si>
    <t>Class</t>
  </si>
  <si>
    <t>Frequency(fi)</t>
  </si>
  <si>
    <t>Middle(xi)</t>
  </si>
  <si>
    <t>Fi*Xi</t>
  </si>
  <si>
    <t>fi*xi*xi</t>
  </si>
  <si>
    <t>1.2-1.6</t>
  </si>
  <si>
    <t>1.6-2.0</t>
  </si>
  <si>
    <t>2.0-2.4</t>
  </si>
  <si>
    <t>2.4-2.8</t>
  </si>
  <si>
    <t>2.8-3.2</t>
  </si>
  <si>
    <t>3.2-3.6</t>
  </si>
  <si>
    <t>3.6-4.0</t>
  </si>
  <si>
    <t>394.8/150</t>
  </si>
  <si>
    <t>[1075-((394.8/150)*(394.8/150)]150</t>
  </si>
  <si>
    <t>√35.8864</t>
  </si>
  <si>
    <t>5.99052585337881/2.6324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</si>
</sst>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right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114300</xdr:colOff>
      <xdr:row>8</xdr:row>
      <xdr:rowOff>90487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1799F1-87AA-A30B-08D3-517775CA7DA6}"/>
            </a:ext>
          </a:extLst>
        </xdr:cNvPr>
        <xdr:cNvSpPr txBox="1"/>
      </xdr:nvSpPr>
      <xdr:spPr>
        <a:xfrm>
          <a:off x="5819775" y="16144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66675</xdr:colOff>
      <xdr:row>12</xdr:row>
      <xdr:rowOff>90551</xdr:rowOff>
    </xdr:from>
    <xdr:ext cx="1428750" cy="4047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4887632-D417-896F-F6DB-5C3BCBC056E6}"/>
                </a:ext>
              </a:extLst>
            </xdr:cNvPr>
            <xdr:cNvSpPr txBox="1"/>
          </xdr:nvSpPr>
          <xdr:spPr>
            <a:xfrm>
              <a:off x="742950" y="2386076"/>
              <a:ext cx="1428750" cy="404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u="none"/>
                <a:t>Mean=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 u="none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400" i="1" u="none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100" b="0" i="1" u="none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𝑓𝑖𝑥𝑖</m:t>
                          </m:r>
                        </m:e>
                      </m:nary>
                    </m:num>
                    <m:den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400" i="1" u="none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400" b="0" i="1" u="none">
                              <a:latin typeface="Cambria Math" panose="02040503050406030204" pitchFamily="18" charset="0"/>
                            </a:rPr>
                            <m:t>𝑓𝑖</m:t>
                          </m:r>
                        </m:e>
                      </m:nary>
                    </m:den>
                  </m:f>
                </m:oMath>
              </a14:m>
              <a:r>
                <a:rPr lang="en-US" sz="1400" u="none"/>
                <a:t>    </a:t>
              </a:r>
            </a:p>
            <a:p>
              <a:endParaRPr lang="en-US" sz="1400" u="none"/>
            </a:p>
            <a:p>
              <a:endParaRPr lang="en-US" sz="1400" u="none"/>
            </a:p>
            <a:p>
              <a:endParaRPr lang="en-US" sz="1400" u="none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4887632-D417-896F-F6DB-5C3BCBC056E6}"/>
                </a:ext>
              </a:extLst>
            </xdr:cNvPr>
            <xdr:cNvSpPr txBox="1"/>
          </xdr:nvSpPr>
          <xdr:spPr>
            <a:xfrm>
              <a:off x="742950" y="2386076"/>
              <a:ext cx="1428750" cy="404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u="none"/>
                <a:t>Mean=</a:t>
              </a:r>
              <a:r>
                <a:rPr lang="en-US" sz="1400" i="0" u="none">
                  <a:latin typeface="Cambria Math" panose="02040503050406030204" pitchFamily="18" charset="0"/>
                </a:rPr>
                <a:t>(∑▒</a:t>
              </a:r>
              <a:r>
                <a:rPr lang="en-US" sz="1100" b="0" i="0" u="non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𝑓𝑖𝑥𝑖</a:t>
              </a:r>
              <a:r>
                <a:rPr lang="en-US" sz="1400" b="0" i="0" u="non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)/(∑▒</a:t>
              </a:r>
              <a:r>
                <a:rPr lang="en-US" sz="1400" b="0" i="0" u="none">
                  <a:latin typeface="Cambria Math" panose="02040503050406030204" pitchFamily="18" charset="0"/>
                </a:rPr>
                <a:t>𝑓𝑖)</a:t>
              </a:r>
              <a:r>
                <a:rPr lang="en-US" sz="1400" u="none"/>
                <a:t>    </a:t>
              </a:r>
            </a:p>
            <a:p>
              <a:endParaRPr lang="en-US" sz="1400" u="none"/>
            </a:p>
            <a:p>
              <a:endParaRPr lang="en-US" sz="1400" u="none"/>
            </a:p>
            <a:p>
              <a:endParaRPr lang="en-US" sz="1400" u="none"/>
            </a:p>
          </xdr:txBody>
        </xdr:sp>
      </mc:Fallback>
    </mc:AlternateContent>
    <xdr:clientData/>
  </xdr:oneCellAnchor>
  <xdr:oneCellAnchor>
    <xdr:from>
      <xdr:col>3</xdr:col>
      <xdr:colOff>288893</xdr:colOff>
      <xdr:row>12</xdr:row>
      <xdr:rowOff>57150</xdr:rowOff>
    </xdr:from>
    <xdr:ext cx="2768632" cy="6286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E36AABC-728D-7867-8001-14101CE8040F}"/>
                </a:ext>
              </a:extLst>
            </xdr:cNvPr>
            <xdr:cNvSpPr txBox="1"/>
          </xdr:nvSpPr>
          <xdr:spPr>
            <a:xfrm>
              <a:off x="2336768" y="2352675"/>
              <a:ext cx="2768632" cy="628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variance</a:t>
              </a:r>
              <a14:m>
                <m:oMath xmlns:m="http://schemas.openxmlformats.org/officeDocument/2006/math">
                  <m:r>
                    <a:rPr lang="en-US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600" i="1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𝑓𝑖</m:t>
                          </m:r>
                          <m:sSup>
                            <m:sSupPr>
                              <m:ctrlPr>
                                <a:rPr lang="en-US" sz="16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𝑥𝑖</m:t>
                              </m:r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𝑥</m:t>
                              </m:r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)</m:t>
                              </m:r>
                            </m:e>
                            <m:sup>
                              <m:r>
                                <a:rPr lang="en-US" sz="16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e>
                      </m:nary>
                    </m:num>
                    <m:den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lang="en-US" sz="1600" i="1">
                              <a:latin typeface="Cambria Math" panose="02040503050406030204" pitchFamily="18" charset="0"/>
                            </a:rPr>
                          </m:ctrlPr>
                        </m:naryPr>
                        <m:sub/>
                        <m:sup/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𝑓𝑖</m:t>
                          </m:r>
                        </m:e>
                      </m:nary>
                    </m:den>
                  </m:f>
                </m:oMath>
              </a14:m>
              <a:endParaRPr lang="en-US" sz="16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E36AABC-728D-7867-8001-14101CE8040F}"/>
                </a:ext>
              </a:extLst>
            </xdr:cNvPr>
            <xdr:cNvSpPr txBox="1"/>
          </xdr:nvSpPr>
          <xdr:spPr>
            <a:xfrm>
              <a:off x="2336768" y="2352675"/>
              <a:ext cx="2768632" cy="6286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variance</a:t>
              </a:r>
              <a:r>
                <a:rPr lang="en-US" sz="1600" i="0">
                  <a:latin typeface="Cambria Math" panose="02040503050406030204" pitchFamily="18" charset="0"/>
                </a:rPr>
                <a:t>=(∑▒〖</a:t>
              </a:r>
              <a:r>
                <a:rPr lang="en-US" sz="1600" b="0" i="0">
                  <a:latin typeface="Cambria Math" panose="02040503050406030204" pitchFamily="18" charset="0"/>
                </a:rPr>
                <a:t>𝑓𝑖〖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(𝑥𝑖−𝑥)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600" b="0" i="0">
                  <a:latin typeface="Cambria Math" panose="02040503050406030204" pitchFamily="18" charset="0"/>
                </a:rPr>
                <a:t>2 〗)/(∑▒𝑓𝑖)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7</xdr:col>
      <xdr:colOff>79343</xdr:colOff>
      <xdr:row>12</xdr:row>
      <xdr:rowOff>89375</xdr:rowOff>
    </xdr:from>
    <xdr:ext cx="2292382" cy="274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E784DCF-A9D6-0EEB-B3BC-A99EF37FE76E}"/>
                </a:ext>
              </a:extLst>
            </xdr:cNvPr>
            <xdr:cNvSpPr txBox="1"/>
          </xdr:nvSpPr>
          <xdr:spPr>
            <a:xfrm>
              <a:off x="4565618" y="2384900"/>
              <a:ext cx="2292382" cy="274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nor/>
                    </m:rPr>
                    <a:rPr lang="en-US" sz="16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standard</m:t>
                  </m:r>
                  <m:r>
                    <m:rPr>
                      <m:nor/>
                    </m:rPr>
                    <a:rPr lang="en-US" sz="16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6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deviation</m:t>
                  </m:r>
                  <m:r>
                    <a:rPr lang="en-US" sz="160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6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√</m:t>
                  </m:r>
                </m:oMath>
              </a14:m>
              <a:r>
                <a:rPr lang="en-US" sz="1600"/>
                <a:t>𝞼</a:t>
              </a: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E784DCF-A9D6-0EEB-B3BC-A99EF37FE76E}"/>
                </a:ext>
              </a:extLst>
            </xdr:cNvPr>
            <xdr:cNvSpPr txBox="1"/>
          </xdr:nvSpPr>
          <xdr:spPr>
            <a:xfrm>
              <a:off x="4565618" y="2384900"/>
              <a:ext cx="2292382" cy="274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"standard deviation"</a:t>
              </a:r>
              <a:r>
                <a:rPr lang="en-US" sz="1600" i="0">
                  <a:latin typeface="Cambria Math" panose="02040503050406030204" pitchFamily="18" charset="0"/>
                </a:rPr>
                <a:t>=</a:t>
              </a:r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</a:t>
              </a:r>
              <a:r>
                <a:rPr lang="en-US" sz="1600"/>
                <a:t>𝞼</a:t>
              </a:r>
            </a:p>
          </xdr:txBody>
        </xdr:sp>
      </mc:Fallback>
    </mc:AlternateContent>
    <xdr:clientData/>
  </xdr:oneCellAnchor>
  <xdr:oneCellAnchor>
    <xdr:from>
      <xdr:col>9</xdr:col>
      <xdr:colOff>812768</xdr:colOff>
      <xdr:row>11</xdr:row>
      <xdr:rowOff>137001</xdr:rowOff>
    </xdr:from>
    <xdr:ext cx="4015843" cy="4924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598C684-BF25-5189-7610-594EC2605A54}"/>
                </a:ext>
              </a:extLst>
            </xdr:cNvPr>
            <xdr:cNvSpPr txBox="1"/>
          </xdr:nvSpPr>
          <xdr:spPr>
            <a:xfrm>
              <a:off x="6870668" y="2242026"/>
              <a:ext cx="4015843" cy="492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coefficient</m:t>
                    </m:r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of</m:t>
                    </m:r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variation</m:t>
                    </m:r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(</m:t>
                    </m:r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CV</m:t>
                    </m:r>
                    <m:r>
                      <m:rPr>
                        <m:nor/>
                      </m:rPr>
                      <a:rPr lang="en-US" sz="16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 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/>
                          <m:lim/>
                        </m:limLow>
                      </m:fName>
                      <m:e>
                        <m:sSup>
                          <m:sSup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600" i="1">
                                        <a:latin typeface="Cambria Math" panose="02040503050406030204" pitchFamily="18" charset="0"/>
                                      </a:rPr>
                                      <m:t>𝞼</m:t>
                                    </m:r>
                                  </m:num>
                                  <m:den>
                                    <m:r>
                                      <a:rPr lang="en-US" sz="1600" i="1">
                                        <a:latin typeface="Cambria Math" panose="02040503050406030204" pitchFamily="18" charset="0"/>
                                      </a:rPr>
                                      <m:t>ẋ</m:t>
                                    </m:r>
                                  </m:den>
                                </m:f>
                              </m:e>
                            </m:d>
                          </m:e>
                          <m:sup/>
                        </m:sSup>
                      </m:e>
                    </m:func>
                    <m:r>
                      <a:rPr lang="en-US" sz="16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100%</m:t>
                    </m:r>
                  </m:oMath>
                </m:oMathPara>
              </a14:m>
              <a:endParaRPr lang="en-US" sz="16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598C684-BF25-5189-7610-594EC2605A54}"/>
                </a:ext>
              </a:extLst>
            </xdr:cNvPr>
            <xdr:cNvSpPr txBox="1"/>
          </xdr:nvSpPr>
          <xdr:spPr>
            <a:xfrm>
              <a:off x="6870668" y="2242026"/>
              <a:ext cx="4015843" cy="4924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"coefficient of variation (CV) "</a:t>
              </a:r>
              <a:r>
                <a:rPr lang="en-US" sz="1600" i="0">
                  <a:latin typeface="Cambria Math" panose="02040503050406030204" pitchFamily="18" charset="0"/>
                </a:rPr>
                <a:t>=〖_〗⁡〖(𝞼/ẋ)^ 〗</a:t>
              </a:r>
              <a:r>
                <a:rPr lang="en-US" sz="1600" b="0" i="0">
                  <a:latin typeface="Cambria Math" panose="02040503050406030204" pitchFamily="18" charset="0"/>
                </a:rPr>
                <a:t> 𝑥100%</a:t>
              </a:r>
              <a:endParaRPr lang="en-US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K11" sqref="K11"/>
    </sheetView>
  </sheetViews>
  <sheetFormatPr defaultRowHeight="15" x14ac:dyDescent="0.25"/>
  <cols>
    <col min="1" max="1" width="10.140625" customWidth="1"/>
    <col min="2" max="2" width="11.42578125" customWidth="1"/>
    <col min="8" max="8" width="5.85546875" customWidth="1"/>
    <col min="9" max="9" width="17.7109375" customWidth="1"/>
    <col min="10" max="10" width="41.140625" customWidth="1"/>
    <col min="11" max="11" width="34.42578125" customWidth="1"/>
    <col min="12" max="12" width="20.42578125" customWidth="1"/>
  </cols>
  <sheetData>
    <row r="1" spans="1:12" ht="15.75" x14ac:dyDescent="0.25">
      <c r="A1" s="10" t="s">
        <v>0</v>
      </c>
      <c r="B1" s="10" t="s">
        <v>6</v>
      </c>
      <c r="C1" s="10" t="s">
        <v>7</v>
      </c>
      <c r="D1" s="10" t="s">
        <v>8</v>
      </c>
      <c r="E1" s="2"/>
    </row>
    <row r="2" spans="1:12" x14ac:dyDescent="0.25">
      <c r="A2" s="11" t="s">
        <v>1</v>
      </c>
      <c r="B2" s="11">
        <v>220</v>
      </c>
      <c r="C2" s="11">
        <f>(1.2+1.6)/2</f>
        <v>1.4</v>
      </c>
      <c r="D2" s="12">
        <v>308</v>
      </c>
      <c r="I2" s="4" t="s">
        <v>11</v>
      </c>
      <c r="J2" s="5" t="s">
        <v>12</v>
      </c>
      <c r="K2" s="6" t="s">
        <v>13</v>
      </c>
      <c r="L2" s="7">
        <f>D7/B7</f>
        <v>2.2376470588235295</v>
      </c>
    </row>
    <row r="3" spans="1:12" x14ac:dyDescent="0.25">
      <c r="A3" s="11" t="s">
        <v>2</v>
      </c>
      <c r="B3" s="11">
        <v>150</v>
      </c>
      <c r="C3" s="11">
        <f>(1.6+2)/2</f>
        <v>1.8</v>
      </c>
      <c r="D3" s="12">
        <v>270</v>
      </c>
      <c r="I3" s="4" t="s">
        <v>14</v>
      </c>
      <c r="J3" s="8" t="s">
        <v>10</v>
      </c>
      <c r="K3" s="6" t="s">
        <v>15</v>
      </c>
      <c r="L3" s="7">
        <f>(4616.4-((1902/850)*(1902/850)))/850</f>
        <v>5.425168159576633</v>
      </c>
    </row>
    <row r="4" spans="1:12" x14ac:dyDescent="0.25">
      <c r="A4" s="11" t="s">
        <v>3</v>
      </c>
      <c r="B4" s="11">
        <v>90</v>
      </c>
      <c r="C4" s="11">
        <v>2.2000000000000002</v>
      </c>
      <c r="D4" s="12">
        <v>198</v>
      </c>
      <c r="I4" s="4" t="s">
        <v>16</v>
      </c>
      <c r="J4" s="5" t="s">
        <v>17</v>
      </c>
      <c r="K4" s="6" t="s">
        <v>18</v>
      </c>
      <c r="L4" s="7">
        <v>2.3291990380000001</v>
      </c>
    </row>
    <row r="5" spans="1:12" x14ac:dyDescent="0.25">
      <c r="A5" s="11" t="s">
        <v>4</v>
      </c>
      <c r="B5" s="11">
        <v>110</v>
      </c>
      <c r="C5" s="11">
        <v>2.6</v>
      </c>
      <c r="D5" s="12">
        <v>286</v>
      </c>
      <c r="I5" s="4" t="s">
        <v>19</v>
      </c>
      <c r="J5" s="8" t="s">
        <v>20</v>
      </c>
      <c r="K5" s="6" t="s">
        <v>21</v>
      </c>
      <c r="L5" s="7">
        <f>2.237647059/2.329199038</f>
        <v>0.96069379322833115</v>
      </c>
    </row>
    <row r="6" spans="1:12" x14ac:dyDescent="0.25">
      <c r="A6" s="11" t="s">
        <v>5</v>
      </c>
      <c r="B6" s="11">
        <v>280</v>
      </c>
      <c r="C6" s="11">
        <v>3</v>
      </c>
      <c r="D6" s="12">
        <v>840</v>
      </c>
    </row>
    <row r="7" spans="1:12" x14ac:dyDescent="0.25">
      <c r="A7" s="9" t="s">
        <v>9</v>
      </c>
      <c r="B7" s="9">
        <f>SUM(B2:B6)</f>
        <v>850</v>
      </c>
      <c r="C7" s="9"/>
      <c r="D7" s="9">
        <f>SUM(D2:D6)</f>
        <v>1902</v>
      </c>
    </row>
    <row r="8" spans="1:12" x14ac:dyDescent="0.25">
      <c r="D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571F-90EA-4A4D-B3A0-04876495C15E}">
  <dimension ref="A1:J9"/>
  <sheetViews>
    <sheetView tabSelected="1" workbookViewId="0">
      <selection activeCell="H10" sqref="H10"/>
    </sheetView>
  </sheetViews>
  <sheetFormatPr defaultRowHeight="15" x14ac:dyDescent="0.25"/>
  <cols>
    <col min="7" max="7" width="25.5703125" customWidth="1"/>
    <col min="8" max="8" width="46" customWidth="1"/>
    <col min="9" max="9" width="35" customWidth="1"/>
    <col min="10" max="10" width="14.85546875" customWidth="1"/>
  </cols>
  <sheetData>
    <row r="1" spans="1:10" x14ac:dyDescent="0.25">
      <c r="A1" s="13" t="s">
        <v>22</v>
      </c>
      <c r="B1" s="13" t="s">
        <v>23</v>
      </c>
      <c r="C1" s="14" t="s">
        <v>24</v>
      </c>
      <c r="D1" s="14" t="s">
        <v>25</v>
      </c>
      <c r="E1" s="9" t="s">
        <v>26</v>
      </c>
      <c r="G1" s="4" t="s">
        <v>11</v>
      </c>
      <c r="H1" s="5" t="s">
        <v>12</v>
      </c>
      <c r="I1" s="11" t="s">
        <v>34</v>
      </c>
      <c r="J1" s="16">
        <f>394.86/150</f>
        <v>2.6324000000000001</v>
      </c>
    </row>
    <row r="2" spans="1:10" x14ac:dyDescent="0.25">
      <c r="A2" s="3" t="s">
        <v>27</v>
      </c>
      <c r="B2" s="3">
        <v>3</v>
      </c>
      <c r="C2" s="3">
        <f>(1.2+1.6)/2</f>
        <v>1.4</v>
      </c>
      <c r="D2" s="3">
        <f>B2*C2</f>
        <v>4.1999999999999993</v>
      </c>
      <c r="E2" s="3">
        <f>B2*C2*C2</f>
        <v>5.879999999999999</v>
      </c>
      <c r="G2" s="4" t="s">
        <v>14</v>
      </c>
      <c r="H2" s="8" t="s">
        <v>10</v>
      </c>
      <c r="I2" s="11" t="s">
        <v>35</v>
      </c>
      <c r="J2" s="16">
        <f>(1075-((394.8/150)*(394.8/150))*150)</f>
        <v>35.886399999999867</v>
      </c>
    </row>
    <row r="3" spans="1:10" x14ac:dyDescent="0.25">
      <c r="A3" s="3" t="s">
        <v>28</v>
      </c>
      <c r="B3" s="3">
        <v>7</v>
      </c>
      <c r="C3" s="3">
        <v>1.8</v>
      </c>
      <c r="D3" s="3">
        <f t="shared" ref="D3:D8" si="0">B3*C3</f>
        <v>12.6</v>
      </c>
      <c r="E3" s="3">
        <f t="shared" ref="E3:E8" si="1">B3*C3*C3</f>
        <v>22.68</v>
      </c>
      <c r="G3" s="4" t="s">
        <v>16</v>
      </c>
      <c r="H3" s="5" t="s">
        <v>17</v>
      </c>
      <c r="I3" s="11" t="s">
        <v>36</v>
      </c>
      <c r="J3" s="16">
        <v>5.9905258533788102</v>
      </c>
    </row>
    <row r="4" spans="1:10" x14ac:dyDescent="0.25">
      <c r="A4" s="3" t="s">
        <v>29</v>
      </c>
      <c r="B4" s="3">
        <v>40</v>
      </c>
      <c r="C4" s="3">
        <v>2.2000000000000002</v>
      </c>
      <c r="D4" s="3">
        <f t="shared" si="0"/>
        <v>88</v>
      </c>
      <c r="E4" s="3">
        <f t="shared" si="1"/>
        <v>193.60000000000002</v>
      </c>
      <c r="G4" s="4" t="s">
        <v>19</v>
      </c>
      <c r="H4" s="8" t="s">
        <v>20</v>
      </c>
      <c r="I4" s="11" t="s">
        <v>37</v>
      </c>
      <c r="J4" s="16">
        <f>5.99052585337881/2.6324</f>
        <v>2.27568980906352</v>
      </c>
    </row>
    <row r="5" spans="1:10" x14ac:dyDescent="0.25">
      <c r="A5" s="3" t="s">
        <v>30</v>
      </c>
      <c r="B5" s="3">
        <v>50</v>
      </c>
      <c r="C5" s="3">
        <v>2.6</v>
      </c>
      <c r="D5" s="3">
        <f t="shared" si="0"/>
        <v>130</v>
      </c>
      <c r="E5" s="3">
        <f t="shared" si="1"/>
        <v>338</v>
      </c>
    </row>
    <row r="6" spans="1:10" x14ac:dyDescent="0.25">
      <c r="A6" s="3" t="s">
        <v>31</v>
      </c>
      <c r="B6" s="3">
        <v>30</v>
      </c>
      <c r="C6" s="3">
        <v>3</v>
      </c>
      <c r="D6" s="3">
        <f t="shared" si="0"/>
        <v>90</v>
      </c>
      <c r="E6" s="3">
        <f t="shared" si="1"/>
        <v>270</v>
      </c>
    </row>
    <row r="7" spans="1:10" x14ac:dyDescent="0.25">
      <c r="A7" s="3" t="s">
        <v>32</v>
      </c>
      <c r="B7" s="3">
        <v>15</v>
      </c>
      <c r="C7" s="3">
        <f>(3.2+3.6)/2</f>
        <v>3.4000000000000004</v>
      </c>
      <c r="D7" s="3">
        <f t="shared" si="0"/>
        <v>51.000000000000007</v>
      </c>
      <c r="E7" s="3">
        <f t="shared" si="1"/>
        <v>173.40000000000003</v>
      </c>
    </row>
    <row r="8" spans="1:10" x14ac:dyDescent="0.25">
      <c r="A8" s="3" t="s">
        <v>33</v>
      </c>
      <c r="B8" s="3">
        <v>5</v>
      </c>
      <c r="C8" s="3">
        <v>3.8</v>
      </c>
      <c r="D8" s="3">
        <f t="shared" si="0"/>
        <v>19</v>
      </c>
      <c r="E8" s="3">
        <f t="shared" si="1"/>
        <v>72.2</v>
      </c>
    </row>
    <row r="9" spans="1:10" x14ac:dyDescent="0.25">
      <c r="A9" s="14" t="s">
        <v>9</v>
      </c>
      <c r="B9" s="15">
        <f>SUM(B2:B8)</f>
        <v>150</v>
      </c>
      <c r="C9" s="15">
        <f>SUM(C2:C8)</f>
        <v>18.2</v>
      </c>
      <c r="D9" s="15">
        <f>SUM(D2:D8)</f>
        <v>394.8</v>
      </c>
      <c r="E9" s="15">
        <f>SUM(E2:E8)</f>
        <v>1075.7600000000002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 Kalhara</dc:creator>
  <cp:lastModifiedBy>Pasan Kalhara</cp:lastModifiedBy>
  <dcterms:created xsi:type="dcterms:W3CDTF">2015-06-05T18:17:20Z</dcterms:created>
  <dcterms:modified xsi:type="dcterms:W3CDTF">2025-03-23T18:24:47Z</dcterms:modified>
</cp:coreProperties>
</file>