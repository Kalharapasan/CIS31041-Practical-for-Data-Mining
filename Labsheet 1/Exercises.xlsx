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herd Year Frist Sem Assignment &amp;  Labsheet\07.CIS31041 - Practical for Data Mining\Labsheet 1\"/>
    </mc:Choice>
  </mc:AlternateContent>
  <xr:revisionPtr revIDLastSave="0" documentId="13_ncr:1_{790A80FA-87F7-4890-A6F5-FD180E136B80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Q1" sheetId="1" r:id="rId1"/>
    <sheet name="Q2" sheetId="2" r:id="rId2"/>
    <sheet name="Q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3" l="1"/>
  <c r="K4" i="3"/>
  <c r="K3" i="3"/>
  <c r="C10" i="3"/>
  <c r="D10" i="3"/>
  <c r="E10" i="3"/>
  <c r="F10" i="3"/>
  <c r="B10" i="3"/>
  <c r="F3" i="3"/>
  <c r="F4" i="3"/>
  <c r="F5" i="3"/>
  <c r="F6" i="3"/>
  <c r="F7" i="3"/>
  <c r="F8" i="3"/>
  <c r="F9" i="3"/>
  <c r="E3" i="3"/>
  <c r="E4" i="3"/>
  <c r="E5" i="3"/>
  <c r="E6" i="3"/>
  <c r="E7" i="3"/>
  <c r="E8" i="3"/>
  <c r="E9" i="3"/>
  <c r="D3" i="3"/>
  <c r="D4" i="3"/>
  <c r="D5" i="3"/>
  <c r="D6" i="3"/>
  <c r="D7" i="3"/>
  <c r="D8" i="3"/>
  <c r="D9" i="3"/>
  <c r="F2" i="3"/>
  <c r="E2" i="3"/>
  <c r="D2" i="3"/>
  <c r="H8" i="2"/>
  <c r="H2" i="2"/>
</calcChain>
</file>

<file path=xl/sharedStrings.xml><?xml version="1.0" encoding="utf-8"?>
<sst xmlns="http://schemas.openxmlformats.org/spreadsheetml/2006/main" count="37" uniqueCount="37">
  <si>
    <t xml:space="preserve">Days </t>
  </si>
  <si>
    <t xml:space="preserve">Number of Light </t>
  </si>
  <si>
    <t xml:space="preserve">Day 1 </t>
  </si>
  <si>
    <t xml:space="preserve">Day 2 </t>
  </si>
  <si>
    <t xml:space="preserve">Day 3 </t>
  </si>
  <si>
    <t xml:space="preserve">Day 4 </t>
  </si>
  <si>
    <t xml:space="preserve">Day 5 </t>
  </si>
  <si>
    <t>Power Bill</t>
  </si>
  <si>
    <t>Mean</t>
  </si>
  <si>
    <t>Mode</t>
  </si>
  <si>
    <t>Median</t>
  </si>
  <si>
    <t>(n+1)/2=(15+1)/2=8th</t>
  </si>
  <si>
    <t>Quartiles 1</t>
  </si>
  <si>
    <t>(n+1)/4=(15+1)/4 =4th</t>
  </si>
  <si>
    <t>Quartiles 2</t>
  </si>
  <si>
    <t>(n+1)/2=(15+1)/4 =8th</t>
  </si>
  <si>
    <t>Quartiles 3</t>
  </si>
  <si>
    <t>3(n+1)/4=(15+1)/4 =12th</t>
  </si>
  <si>
    <t>Inter Quartile Range (IQR)</t>
  </si>
  <si>
    <t>(8+13+15+15+17+17+17+18+24+27+28+30+31+41+44)/15</t>
  </si>
  <si>
    <t>Q3-Q1=30-15</t>
  </si>
  <si>
    <t>xi</t>
  </si>
  <si>
    <t>yi</t>
  </si>
  <si>
    <t>xi*yi</t>
  </si>
  <si>
    <t>xi*xi</t>
  </si>
  <si>
    <t>yi*yi</t>
  </si>
  <si>
    <t>Total</t>
  </si>
  <si>
    <t>m</t>
  </si>
  <si>
    <t>[n*∑xi*yi-∑xi*∑yi]/n*∑xi*xi-(∑xi)^2</t>
  </si>
  <si>
    <t>c</t>
  </si>
  <si>
    <r>
      <t>(</t>
    </r>
    <r>
      <rPr>
        <sz val="11"/>
        <color theme="1"/>
        <rFont val="Calibri"/>
        <family val="2"/>
      </rPr>
      <t>∑yi-m*∑xi)/n</t>
    </r>
  </si>
  <si>
    <t>Correlation coefficient</t>
  </si>
  <si>
    <t>[n*Σxi*yi - Σxi*Σyi] / sqrt[(n*Σxi*xi - (Σxi)^2)*(n*Σyi*yi - (Σyi)^2)]</t>
  </si>
  <si>
    <t>n=8</t>
  </si>
  <si>
    <t>(8 * 11193 - 318 * 279) / (8 * 12764 - 318^2)</t>
  </si>
  <si>
    <t xml:space="preserve"> (279 - (0.831 * 318)) / 8</t>
  </si>
  <si>
    <t>(8 * 11193 - 318 * 279) / SQRT((8 * 12764 - 318^2) * (8 * 9857 - 279^2))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</si>
</sst>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3" fillId="8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'Q1'!$A$2:$B$2</c:f>
              <c:strCache>
                <c:ptCount val="2"/>
                <c:pt idx="0">
                  <c:v>Day 1 </c:v>
                </c:pt>
                <c:pt idx="1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'Q1'!$C$1</c:f>
              <c:strCache>
                <c:ptCount val="1"/>
                <c:pt idx="0">
                  <c:v>Power Bill</c:v>
                </c:pt>
              </c:strCache>
            </c:strRef>
          </c:cat>
          <c:val>
            <c:numRef>
              <c:f>'Q1'!$C$2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6-4465-B644-4AE2CC9B1DC7}"/>
            </c:ext>
          </c:extLst>
        </c:ser>
        <c:ser>
          <c:idx val="1"/>
          <c:order val="1"/>
          <c:tx>
            <c:strRef>
              <c:f>'Q1'!$A$3:$B$3</c:f>
              <c:strCache>
                <c:ptCount val="2"/>
                <c:pt idx="0">
                  <c:v>Day 2 </c:v>
                </c:pt>
                <c:pt idx="1">
                  <c:v>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'Q1'!$C$1</c:f>
              <c:strCache>
                <c:ptCount val="1"/>
                <c:pt idx="0">
                  <c:v>Power Bill</c:v>
                </c:pt>
              </c:strCache>
            </c:strRef>
          </c:cat>
          <c:val>
            <c:numRef>
              <c:f>'Q1'!$C$3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6-4465-B644-4AE2CC9B1DC7}"/>
            </c:ext>
          </c:extLst>
        </c:ser>
        <c:ser>
          <c:idx val="2"/>
          <c:order val="2"/>
          <c:tx>
            <c:strRef>
              <c:f>'Q1'!$A$4:$B$4</c:f>
              <c:strCache>
                <c:ptCount val="2"/>
                <c:pt idx="0">
                  <c:v>Day 3 </c:v>
                </c:pt>
                <c:pt idx="1">
                  <c:v>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'Q1'!$C$1</c:f>
              <c:strCache>
                <c:ptCount val="1"/>
                <c:pt idx="0">
                  <c:v>Power Bill</c:v>
                </c:pt>
              </c:strCache>
            </c:strRef>
          </c:cat>
          <c:val>
            <c:numRef>
              <c:f>'Q1'!$C$4</c:f>
              <c:numCache>
                <c:formatCode>General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E6-4465-B644-4AE2CC9B1DC7}"/>
            </c:ext>
          </c:extLst>
        </c:ser>
        <c:ser>
          <c:idx val="3"/>
          <c:order val="3"/>
          <c:tx>
            <c:strRef>
              <c:f>'Q1'!$A$5:$B$5</c:f>
              <c:strCache>
                <c:ptCount val="2"/>
                <c:pt idx="0">
                  <c:v>Day 4 </c:v>
                </c:pt>
                <c:pt idx="1">
                  <c:v>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'Q1'!$C$1</c:f>
              <c:strCache>
                <c:ptCount val="1"/>
                <c:pt idx="0">
                  <c:v>Power Bill</c:v>
                </c:pt>
              </c:strCache>
            </c:strRef>
          </c:cat>
          <c:val>
            <c:numRef>
              <c:f>'Q1'!$C$5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E6-4465-B644-4AE2CC9B1DC7}"/>
            </c:ext>
          </c:extLst>
        </c:ser>
        <c:ser>
          <c:idx val="4"/>
          <c:order val="4"/>
          <c:tx>
            <c:strRef>
              <c:f>'Q1'!$A$6:$B$6</c:f>
              <c:strCache>
                <c:ptCount val="2"/>
                <c:pt idx="0">
                  <c:v>Day 5 </c:v>
                </c:pt>
                <c:pt idx="1">
                  <c:v>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'Q1'!$C$1</c:f>
              <c:strCache>
                <c:ptCount val="1"/>
                <c:pt idx="0">
                  <c:v>Power Bill</c:v>
                </c:pt>
              </c:strCache>
            </c:strRef>
          </c:cat>
          <c:val>
            <c:numRef>
              <c:f>'Q1'!$C$6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E6-4465-B644-4AE2CC9B1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1196335"/>
        <c:axId val="1301195375"/>
      </c:barChart>
      <c:catAx>
        <c:axId val="1301196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195375"/>
        <c:crosses val="autoZero"/>
        <c:auto val="1"/>
        <c:lblAlgn val="ctr"/>
        <c:lblOffset val="100"/>
        <c:noMultiLvlLbl val="0"/>
      </c:catAx>
      <c:valAx>
        <c:axId val="130119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19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'Q1'!$B$1</c:f>
              <c:strCache>
                <c:ptCount val="1"/>
                <c:pt idx="0">
                  <c:v>Number of Light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'Q1'!$A$2:$A$6</c:f>
              <c:strCache>
                <c:ptCount val="5"/>
                <c:pt idx="0">
                  <c:v>Day 1 </c:v>
                </c:pt>
                <c:pt idx="1">
                  <c:v>Day 2 </c:v>
                </c:pt>
                <c:pt idx="2">
                  <c:v>Day 3 </c:v>
                </c:pt>
                <c:pt idx="3">
                  <c:v>Day 4 </c:v>
                </c:pt>
                <c:pt idx="4">
                  <c:v>Day 5 </c:v>
                </c:pt>
              </c:strCache>
            </c:strRef>
          </c:cat>
          <c:val>
            <c:numRef>
              <c:f>'Q1'!$B$2:$B$6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E-476F-B56E-FB181F92FE44}"/>
            </c:ext>
          </c:extLst>
        </c:ser>
        <c:ser>
          <c:idx val="1"/>
          <c:order val="1"/>
          <c:tx>
            <c:strRef>
              <c:f>'Q1'!$C$1</c:f>
              <c:strCache>
                <c:ptCount val="1"/>
                <c:pt idx="0">
                  <c:v>Power Bill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'Q1'!$A$2:$A$6</c:f>
              <c:strCache>
                <c:ptCount val="5"/>
                <c:pt idx="0">
                  <c:v>Day 1 </c:v>
                </c:pt>
                <c:pt idx="1">
                  <c:v>Day 2 </c:v>
                </c:pt>
                <c:pt idx="2">
                  <c:v>Day 3 </c:v>
                </c:pt>
                <c:pt idx="3">
                  <c:v>Day 4 </c:v>
                </c:pt>
                <c:pt idx="4">
                  <c:v>Day 5 </c:v>
                </c:pt>
              </c:strCache>
            </c:strRef>
          </c:cat>
          <c:val>
            <c:numRef>
              <c:f>'Q1'!$C$2:$C$6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E-476F-B56E-FB181F92F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191535"/>
        <c:axId val="1301163695"/>
      </c:lineChart>
      <c:catAx>
        <c:axId val="130119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163695"/>
        <c:crosses val="autoZero"/>
        <c:auto val="1"/>
        <c:lblAlgn val="ctr"/>
        <c:lblOffset val="100"/>
        <c:noMultiLvlLbl val="0"/>
      </c:catAx>
      <c:valAx>
        <c:axId val="130116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19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'Q1'!$B$1</c:f>
              <c:strCache>
                <c:ptCount val="1"/>
                <c:pt idx="0">
                  <c:v>Number of Light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'Q1'!$A$2:$A$6</c:f>
              <c:strCache>
                <c:ptCount val="5"/>
                <c:pt idx="0">
                  <c:v>Day 1 </c:v>
                </c:pt>
                <c:pt idx="1">
                  <c:v>Day 2 </c:v>
                </c:pt>
                <c:pt idx="2">
                  <c:v>Day 3 </c:v>
                </c:pt>
                <c:pt idx="3">
                  <c:v>Day 4 </c:v>
                </c:pt>
                <c:pt idx="4">
                  <c:v>Day 5 </c:v>
                </c:pt>
              </c:strCache>
            </c:strRef>
          </c:cat>
          <c:val>
            <c:numRef>
              <c:f>'Q1'!$B$2:$B$6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D-490B-8971-033A1FDDE24A}"/>
            </c:ext>
          </c:extLst>
        </c:ser>
        <c:ser>
          <c:idx val="1"/>
          <c:order val="1"/>
          <c:tx>
            <c:strRef>
              <c:f>'Q1'!$C$1</c:f>
              <c:strCache>
                <c:ptCount val="1"/>
                <c:pt idx="0">
                  <c:v>Power Bill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'Q1'!$A$2:$A$6</c:f>
              <c:strCache>
                <c:ptCount val="5"/>
                <c:pt idx="0">
                  <c:v>Day 1 </c:v>
                </c:pt>
                <c:pt idx="1">
                  <c:v>Day 2 </c:v>
                </c:pt>
                <c:pt idx="2">
                  <c:v>Day 3 </c:v>
                </c:pt>
                <c:pt idx="3">
                  <c:v>Day 4 </c:v>
                </c:pt>
                <c:pt idx="4">
                  <c:v>Day 5 </c:v>
                </c:pt>
              </c:strCache>
            </c:strRef>
          </c:cat>
          <c:val>
            <c:numRef>
              <c:f>'Q1'!$C$2:$C$6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D-490B-8971-033A1FDDE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9</xdr:row>
      <xdr:rowOff>119062</xdr:rowOff>
    </xdr:from>
    <xdr:to>
      <xdr:col>14</xdr:col>
      <xdr:colOff>533400</xdr:colOff>
      <xdr:row>24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32DBC-EA45-1EC8-3BEA-567F82473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8</xdr:row>
      <xdr:rowOff>176212</xdr:rowOff>
    </xdr:from>
    <xdr:to>
      <xdr:col>6</xdr:col>
      <xdr:colOff>342900</xdr:colOff>
      <xdr:row>23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111E7-95A4-1B26-CC1E-45AE5FE74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200025</xdr:colOff>
      <xdr:row>9</xdr:row>
      <xdr:rowOff>166687</xdr:rowOff>
    </xdr:from>
    <xdr:to>
      <xdr:col>22</xdr:col>
      <xdr:colOff>504825</xdr:colOff>
      <xdr:row>24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E18966-D579-FC69-F9FA-EF78AE33E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opLeftCell="D7" workbookViewId="0">
      <selection sqref="A1:C6"/>
    </sheetView>
  </sheetViews>
  <sheetFormatPr defaultRowHeight="15" x14ac:dyDescent="0.25"/>
  <cols>
    <col min="1" max="1" width="8.85546875" customWidth="1"/>
    <col min="2" max="2" width="15.42578125" customWidth="1"/>
    <col min="3" max="3" width="15.28515625" customWidth="1"/>
  </cols>
  <sheetData>
    <row r="1" spans="1:3" ht="28.5" x14ac:dyDescent="0.25">
      <c r="A1" s="1" t="s">
        <v>0</v>
      </c>
      <c r="B1" s="1" t="s">
        <v>1</v>
      </c>
      <c r="C1" s="1" t="s">
        <v>7</v>
      </c>
    </row>
    <row r="2" spans="1:3" x14ac:dyDescent="0.25">
      <c r="A2" s="2" t="s">
        <v>2</v>
      </c>
      <c r="B2" s="2">
        <v>10</v>
      </c>
      <c r="C2" s="2">
        <v>100</v>
      </c>
    </row>
    <row r="3" spans="1:3" x14ac:dyDescent="0.25">
      <c r="A3" s="2" t="s">
        <v>3</v>
      </c>
      <c r="B3" s="2">
        <v>20</v>
      </c>
      <c r="C3" s="2">
        <v>200</v>
      </c>
    </row>
    <row r="4" spans="1:3" x14ac:dyDescent="0.25">
      <c r="A4" s="2" t="s">
        <v>4</v>
      </c>
      <c r="B4" s="2">
        <v>30</v>
      </c>
      <c r="C4" s="2">
        <v>300</v>
      </c>
    </row>
    <row r="5" spans="1:3" x14ac:dyDescent="0.25">
      <c r="A5" s="2" t="s">
        <v>5</v>
      </c>
      <c r="B5" s="2">
        <v>40</v>
      </c>
      <c r="C5" s="2">
        <v>400</v>
      </c>
    </row>
    <row r="6" spans="1:3" x14ac:dyDescent="0.25">
      <c r="A6" s="2" t="s">
        <v>6</v>
      </c>
      <c r="B6" s="2">
        <v>50</v>
      </c>
      <c r="C6" s="2">
        <v>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62E-175C-4278-A275-0EE8113A439D}">
  <dimension ref="A1:H15"/>
  <sheetViews>
    <sheetView workbookViewId="0">
      <selection activeCell="C1" sqref="C1:C15"/>
    </sheetView>
  </sheetViews>
  <sheetFormatPr defaultRowHeight="15" x14ac:dyDescent="0.25"/>
  <cols>
    <col min="6" max="6" width="36.85546875" customWidth="1"/>
    <col min="7" max="7" width="52.28515625" customWidth="1"/>
    <col min="8" max="8" width="21.28515625" customWidth="1"/>
  </cols>
  <sheetData>
    <row r="1" spans="1:8" x14ac:dyDescent="0.25">
      <c r="A1" s="6">
        <v>8</v>
      </c>
      <c r="C1" s="7">
        <v>8</v>
      </c>
    </row>
    <row r="2" spans="1:8" x14ac:dyDescent="0.25">
      <c r="A2" s="6">
        <v>15</v>
      </c>
      <c r="C2" s="7">
        <v>13</v>
      </c>
      <c r="F2" s="3" t="s">
        <v>8</v>
      </c>
      <c r="G2" s="4" t="s">
        <v>19</v>
      </c>
      <c r="H2" s="5">
        <f>(8+13+15+15+17+17+17+18+24+27+28+30+31+41+44)/15</f>
        <v>23</v>
      </c>
    </row>
    <row r="3" spans="1:8" x14ac:dyDescent="0.25">
      <c r="A3" s="6">
        <v>18</v>
      </c>
      <c r="C3" s="7">
        <v>15</v>
      </c>
      <c r="F3" s="3" t="s">
        <v>10</v>
      </c>
      <c r="G3" s="4" t="s">
        <v>11</v>
      </c>
      <c r="H3" s="5">
        <v>18</v>
      </c>
    </row>
    <row r="4" spans="1:8" x14ac:dyDescent="0.25">
      <c r="A4" s="6">
        <v>13</v>
      </c>
      <c r="C4" s="7">
        <v>15</v>
      </c>
      <c r="F4" s="3" t="s">
        <v>9</v>
      </c>
      <c r="G4" s="4"/>
      <c r="H4" s="5">
        <v>17</v>
      </c>
    </row>
    <row r="5" spans="1:8" x14ac:dyDescent="0.25">
      <c r="A5" s="6">
        <v>15</v>
      </c>
      <c r="C5" s="7">
        <v>17</v>
      </c>
      <c r="F5" s="3" t="s">
        <v>12</v>
      </c>
      <c r="G5" s="4" t="s">
        <v>13</v>
      </c>
      <c r="H5" s="5">
        <v>15</v>
      </c>
    </row>
    <row r="6" spans="1:8" x14ac:dyDescent="0.25">
      <c r="A6" s="6">
        <v>28</v>
      </c>
      <c r="C6" s="7">
        <v>17</v>
      </c>
      <c r="F6" s="3" t="s">
        <v>14</v>
      </c>
      <c r="G6" s="4" t="s">
        <v>15</v>
      </c>
      <c r="H6" s="5">
        <v>17</v>
      </c>
    </row>
    <row r="7" spans="1:8" x14ac:dyDescent="0.25">
      <c r="A7" s="6">
        <v>30</v>
      </c>
      <c r="C7" s="7">
        <v>17</v>
      </c>
      <c r="F7" s="3" t="s">
        <v>16</v>
      </c>
      <c r="G7" s="4" t="s">
        <v>17</v>
      </c>
      <c r="H7" s="5">
        <v>30</v>
      </c>
    </row>
    <row r="8" spans="1:8" x14ac:dyDescent="0.25">
      <c r="A8" s="6">
        <v>17</v>
      </c>
      <c r="C8" s="7">
        <v>18</v>
      </c>
      <c r="F8" s="3" t="s">
        <v>18</v>
      </c>
      <c r="G8" s="4" t="s">
        <v>20</v>
      </c>
      <c r="H8" s="5">
        <f>30-15</f>
        <v>15</v>
      </c>
    </row>
    <row r="9" spans="1:8" x14ac:dyDescent="0.25">
      <c r="A9" s="6">
        <v>41</v>
      </c>
      <c r="C9" s="7">
        <v>24</v>
      </c>
    </row>
    <row r="10" spans="1:8" x14ac:dyDescent="0.25">
      <c r="A10" s="6">
        <v>27</v>
      </c>
      <c r="C10" s="7">
        <v>27</v>
      </c>
    </row>
    <row r="11" spans="1:8" x14ac:dyDescent="0.25">
      <c r="A11" s="6">
        <v>17</v>
      </c>
      <c r="C11" s="7">
        <v>28</v>
      </c>
    </row>
    <row r="12" spans="1:8" x14ac:dyDescent="0.25">
      <c r="A12" s="6">
        <v>17</v>
      </c>
      <c r="C12" s="7">
        <v>30</v>
      </c>
    </row>
    <row r="13" spans="1:8" x14ac:dyDescent="0.25">
      <c r="A13" s="6">
        <v>44</v>
      </c>
      <c r="C13" s="7">
        <v>31</v>
      </c>
    </row>
    <row r="14" spans="1:8" x14ac:dyDescent="0.25">
      <c r="A14" s="6">
        <v>31</v>
      </c>
      <c r="C14" s="7">
        <v>41</v>
      </c>
    </row>
    <row r="15" spans="1:8" x14ac:dyDescent="0.25">
      <c r="A15" s="6">
        <v>24</v>
      </c>
      <c r="C15" s="7">
        <v>44</v>
      </c>
    </row>
  </sheetData>
  <sortState xmlns:xlrd2="http://schemas.microsoft.com/office/spreadsheetml/2017/richdata2" ref="C1:C15">
    <sortCondition ref="C1:C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CAE5-E891-4FA9-96E5-7890F8A7F615}">
  <dimension ref="A1:K10"/>
  <sheetViews>
    <sheetView tabSelected="1" topLeftCell="E1" workbookViewId="0">
      <selection activeCell="J16" sqref="J16"/>
    </sheetView>
  </sheetViews>
  <sheetFormatPr defaultRowHeight="15" x14ac:dyDescent="0.25"/>
  <cols>
    <col min="8" max="8" width="27.5703125" customWidth="1"/>
    <col min="9" max="9" width="58.28515625" customWidth="1"/>
    <col min="10" max="10" width="63.140625" customWidth="1"/>
  </cols>
  <sheetData>
    <row r="1" spans="1:11" x14ac:dyDescent="0.25"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</row>
    <row r="2" spans="1:11" x14ac:dyDescent="0.25">
      <c r="B2" s="9">
        <v>32</v>
      </c>
      <c r="C2" s="9">
        <v>30</v>
      </c>
      <c r="D2" s="9">
        <f>B2*C2</f>
        <v>960</v>
      </c>
      <c r="E2" s="9">
        <f>B2*B2</f>
        <v>1024</v>
      </c>
      <c r="F2" s="9">
        <f>C2*C2</f>
        <v>900</v>
      </c>
      <c r="H2" s="11" t="s">
        <v>33</v>
      </c>
    </row>
    <row r="3" spans="1:11" x14ac:dyDescent="0.25">
      <c r="B3" s="9">
        <v>36</v>
      </c>
      <c r="C3" s="9">
        <v>30</v>
      </c>
      <c r="D3" s="9">
        <f t="shared" ref="D3:D9" si="0">B3*C3</f>
        <v>1080</v>
      </c>
      <c r="E3" s="9">
        <f t="shared" ref="E3:E9" si="1">B3*B3</f>
        <v>1296</v>
      </c>
      <c r="F3" s="9">
        <f t="shared" ref="F3:F9" si="2">C3*C3</f>
        <v>900</v>
      </c>
      <c r="H3" s="9" t="s">
        <v>27</v>
      </c>
      <c r="I3" s="12" t="s">
        <v>28</v>
      </c>
      <c r="J3" s="13" t="s">
        <v>34</v>
      </c>
      <c r="K3" s="13">
        <f xml:space="preserve"> (8 * 11193 - 318 * 279) / (8 * 12764 - 318^2)</f>
        <v>0.83198380566801622</v>
      </c>
    </row>
    <row r="4" spans="1:11" x14ac:dyDescent="0.25">
      <c r="B4" s="9">
        <v>39</v>
      </c>
      <c r="C4" s="9">
        <v>31</v>
      </c>
      <c r="D4" s="9">
        <f t="shared" si="0"/>
        <v>1209</v>
      </c>
      <c r="E4" s="9">
        <f t="shared" si="1"/>
        <v>1521</v>
      </c>
      <c r="F4" s="9">
        <f t="shared" si="2"/>
        <v>961</v>
      </c>
      <c r="H4" s="9" t="s">
        <v>29</v>
      </c>
      <c r="I4" s="9" t="s">
        <v>30</v>
      </c>
      <c r="J4" s="13" t="s">
        <v>35</v>
      </c>
      <c r="K4" s="13">
        <f xml:space="preserve"> (279 - (0.831 * 318)) / 8</f>
        <v>1.8427500000000023</v>
      </c>
    </row>
    <row r="5" spans="1:11" x14ac:dyDescent="0.25">
      <c r="B5" s="9">
        <v>40</v>
      </c>
      <c r="C5" s="9">
        <v>39</v>
      </c>
      <c r="D5" s="9">
        <f t="shared" si="0"/>
        <v>1560</v>
      </c>
      <c r="E5" s="9">
        <f t="shared" si="1"/>
        <v>1600</v>
      </c>
      <c r="F5" s="9">
        <f t="shared" si="2"/>
        <v>1521</v>
      </c>
      <c r="H5" s="9" t="s">
        <v>31</v>
      </c>
      <c r="I5" s="9" t="s">
        <v>32</v>
      </c>
      <c r="J5" s="13" t="s">
        <v>36</v>
      </c>
      <c r="K5" s="13">
        <f xml:space="preserve"> (8 * 11193 - 318 * 279) / SQRT((8 * 12764 - 318^2) * (8 * 9857 - 279^2))</f>
        <v>0.82084342558085921</v>
      </c>
    </row>
    <row r="6" spans="1:11" x14ac:dyDescent="0.25">
      <c r="B6" s="9">
        <v>41</v>
      </c>
      <c r="C6" s="9">
        <v>37</v>
      </c>
      <c r="D6" s="9">
        <f t="shared" si="0"/>
        <v>1517</v>
      </c>
      <c r="E6" s="9">
        <f t="shared" si="1"/>
        <v>1681</v>
      </c>
      <c r="F6" s="9">
        <f t="shared" si="2"/>
        <v>1369</v>
      </c>
    </row>
    <row r="7" spans="1:11" x14ac:dyDescent="0.25">
      <c r="B7" s="9">
        <v>41</v>
      </c>
      <c r="C7" s="9">
        <v>34</v>
      </c>
      <c r="D7" s="9">
        <f t="shared" si="0"/>
        <v>1394</v>
      </c>
      <c r="E7" s="9">
        <f t="shared" si="1"/>
        <v>1681</v>
      </c>
      <c r="F7" s="9">
        <f t="shared" si="2"/>
        <v>1156</v>
      </c>
    </row>
    <row r="8" spans="1:11" x14ac:dyDescent="0.25">
      <c r="B8" s="9">
        <v>44</v>
      </c>
      <c r="C8" s="9">
        <v>37</v>
      </c>
      <c r="D8" s="9">
        <f t="shared" si="0"/>
        <v>1628</v>
      </c>
      <c r="E8" s="9">
        <f t="shared" si="1"/>
        <v>1936</v>
      </c>
      <c r="F8" s="9">
        <f t="shared" si="2"/>
        <v>1369</v>
      </c>
    </row>
    <row r="9" spans="1:11" x14ac:dyDescent="0.25">
      <c r="B9" s="9">
        <v>45</v>
      </c>
      <c r="C9" s="9">
        <v>41</v>
      </c>
      <c r="D9" s="9">
        <f t="shared" si="0"/>
        <v>1845</v>
      </c>
      <c r="E9" s="9">
        <f t="shared" si="1"/>
        <v>2025</v>
      </c>
      <c r="F9" s="9">
        <f t="shared" si="2"/>
        <v>1681</v>
      </c>
    </row>
    <row r="10" spans="1:11" x14ac:dyDescent="0.25">
      <c r="A10" s="10" t="s">
        <v>26</v>
      </c>
      <c r="B10" s="10">
        <f>SUM(B2:B9)</f>
        <v>318</v>
      </c>
      <c r="C10" s="10">
        <f t="shared" ref="C10:F10" si="3">SUM(C2:C9)</f>
        <v>279</v>
      </c>
      <c r="D10" s="10">
        <f t="shared" si="3"/>
        <v>11193</v>
      </c>
      <c r="E10" s="10">
        <f t="shared" si="3"/>
        <v>12764</v>
      </c>
      <c r="F10" s="10">
        <f t="shared" si="3"/>
        <v>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 Kalhara</dc:creator>
  <cp:lastModifiedBy>Pasan Kalhara</cp:lastModifiedBy>
  <dcterms:created xsi:type="dcterms:W3CDTF">2015-06-05T18:17:20Z</dcterms:created>
  <dcterms:modified xsi:type="dcterms:W3CDTF">2025-03-23T19:13:44Z</dcterms:modified>
</cp:coreProperties>
</file>